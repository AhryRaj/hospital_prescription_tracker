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criptions Entry" sheetId="1" r:id="rId5"/>
    <sheet state="visible" name="Drug Database" sheetId="2" r:id="rId6"/>
    <sheet state="visible" name="Daily Summary" sheetId="3" r:id="rId7"/>
    <sheet state="visible" name="Monthly summary " sheetId="4" r:id="rId8"/>
  </sheets>
  <definedNames/>
  <calcPr/>
</workbook>
</file>

<file path=xl/sharedStrings.xml><?xml version="1.0" encoding="utf-8"?>
<sst xmlns="http://schemas.openxmlformats.org/spreadsheetml/2006/main" count="332" uniqueCount="300">
  <si>
    <t>Hospital Daily Prescription Tracker</t>
  </si>
  <si>
    <t>Date</t>
  </si>
  <si>
    <t>Ticket No / Patient ID</t>
  </si>
  <si>
    <t>Drug Name</t>
  </si>
  <si>
    <t>Dose (ml/g/Nos)</t>
  </si>
  <si>
    <t>Frequency (Times/Day)</t>
  </si>
  <si>
    <t>Days</t>
  </si>
  <si>
    <t>Total Qty Used</t>
  </si>
  <si>
    <t>Unit Price</t>
  </si>
  <si>
    <t>Total Cost (LKR)</t>
  </si>
  <si>
    <t>2026-07-07</t>
  </si>
  <si>
    <t>TKT-101</t>
  </si>
  <si>
    <t>Aswakantha Arista</t>
  </si>
  <si>
    <t>TKT-102</t>
  </si>
  <si>
    <t>TKT-103</t>
  </si>
  <si>
    <t>TKT-104</t>
  </si>
  <si>
    <t>Y.R.G</t>
  </si>
  <si>
    <t>Drug Database</t>
  </si>
  <si>
    <t>Unit</t>
  </si>
  <si>
    <t>Unit Price (LKR)</t>
  </si>
  <si>
    <t>Category,Product Name,Size / Quantity,Price (LKR)</t>
  </si>
  <si>
    <t>Arishta,Abhayarishta,750ml,1810.00</t>
  </si>
  <si>
    <t>Arishta,Amurtharishta,750ml,1180.00</t>
  </si>
  <si>
    <t>Arishta,Arjunarishta,750ml,1690.00</t>
  </si>
  <si>
    <t>Arishta,Ashokarishta,750ml,1020.00</t>
  </si>
  <si>
    <t>Arishta,Ashwagandarishta,750ml,2750.00</t>
  </si>
  <si>
    <t>Arishta,Balarishta,750ml,1950.00</t>
  </si>
  <si>
    <t>Arishta,Danthyarishta,750ml,820.00</t>
  </si>
  <si>
    <t>Arishta,Dashamoolarishta,750ml,1780.00</t>
  </si>
  <si>
    <t>Arishta,Draksharishta,750ml,2570.00</t>
  </si>
  <si>
    <t>Arishta,Kadirarishta,750ml,2720.00</t>
  </si>
  <si>
    <t>Arishta,Musthakadyarishta,750ml,1030.00</t>
  </si>
  <si>
    <t>Arishta,Nimbarishta,750ml,780.00</t>
  </si>
  <si>
    <t>Arishta,Saraswatharishta,750ml,770.00</t>
  </si>
  <si>
    <t>Kwatha,Chirabilwadi Kwathaya,750ml,2030.00</t>
  </si>
  <si>
    <t>Kwatha,Danthimoola Kawatha,750ml,1100.00</t>
  </si>
  <si>
    <t>Kwatha,Danyapanchaka Kawatha,750ml,1180.00</t>
  </si>
  <si>
    <t>Kwatha,Daruparpata Kawatha,750ml,1260.00</t>
  </si>
  <si>
    <t>Kwatha,Dashamoola Kawatha,750ml,910.00</t>
  </si>
  <si>
    <t>Kwatha,Deniba Debatu Kawatha,750ml,1090.00</t>
  </si>
  <si>
    <t>Kwatha,Dewadara Panchaka,750ml,1270.00</t>
  </si>
  <si>
    <t>Kwatha,Eranda Sapthaka,750ml,920.00</t>
  </si>
  <si>
    <t>Kwatha,Madhu Meha Harani,750ml,1210.00</t>
  </si>
  <si>
    <t>Kwatha,Madhu Meha Harani,500ml,700.00</t>
  </si>
  <si>
    <t>Kwatha,Medha Harani Kawatha,750ml,1370.00</t>
  </si>
  <si>
    <t>Kwatha,Nawakarshaka Kwatha,750ml,1930.00</t>
  </si>
  <si>
    <t>Kwatha,Panchamoola Kawatha,750ml,1960.00</t>
  </si>
  <si>
    <t>Kwatha,Patola Katukahiru,750ml,2190.00</t>
  </si>
  <si>
    <t>Kwatha,Prathyaksha Dathree,750ml,970.00</t>
  </si>
  <si>
    <t>Kwatha,Punarnawashtaka,750ml,2220.00</t>
  </si>
  <si>
    <t>Kwatha,Rashna Sapthaka,750ml,1160.00</t>
  </si>
  <si>
    <t>Kwatha,Sreshta Nimba,750ml,1010.00</t>
  </si>
  <si>
    <t>Kwatha,Thrikatukadi,750ml,2150.00</t>
  </si>
  <si>
    <t>Kwatha,Thripala Kwatha,750ml,1050.00</t>
  </si>
  <si>
    <t>Kwatha,Thrikaluhingu,750ml,5410.00</t>
  </si>
  <si>
    <t>Kwatha,Yakshakshyadi,750ml,1280.00</t>
  </si>
  <si>
    <t>Kwatha,Maha Rashnadi,750ml,1700.00</t>
  </si>
  <si>
    <t>Kwatha,Shariwadi,750ml,2300.00</t>
  </si>
  <si>
    <t>Kwatha,Rashna Seegru,750ml,1150.00</t>
  </si>
  <si>
    <t>Kwatha,Hardradi Kwatha,750ml,1160.00</t>
  </si>
  <si>
    <t>Asawa,Arawindasawaya,750ml,880.00</t>
  </si>
  <si>
    <t>Asawa,Chandanasawaya,750ml,900.00</t>
  </si>
  <si>
    <t>Asawa,Kanakasawaya,750ml,980.00</t>
  </si>
  <si>
    <t>Asawa,Louhasawaya,750ml,1060.00</t>
  </si>
  <si>
    <t>Asawa,Pipplyadasawaya,750ml,1030.00</t>
  </si>
  <si>
    <t>Asawa,Punarnawasawaya,750ml,890.00</t>
  </si>
  <si>
    <t>Asawa,Sharibadyasawaya,750ml,1660.00</t>
  </si>
  <si>
    <t>Asawa,Ushirasawaya,750ml,890.00</t>
  </si>
  <si>
    <t>Leha,Chawanaprasawa Leha,400g,2530.00</t>
  </si>
  <si>
    <t>Leha,Kantakaryawa Leha,400g,3950.00</t>
  </si>
  <si>
    <t>Leha,Kushmandakawa Leha,400g,4480.00</t>
  </si>
  <si>
    <t>Leha,Wasawa Leha,400g,1500.00</t>
  </si>
  <si>
    <t>Leha,Wellawengayam Leha,400g,2150.00</t>
  </si>
  <si>
    <t>Covid Items,Suwadarani,500g,870.00</t>
  </si>
  <si>
    <t>Covid Items,Suwadarani,100g,300.00</t>
  </si>
  <si>
    <t>Covid Items,Guduchchadi Kasaya,500g,2960.00</t>
  </si>
  <si>
    <t>Covid Items,Guduchchadi Kasaya,100g,790.00</t>
  </si>
  <si>
    <t>Covid Items,Doomayanaya,100g,240.00</t>
  </si>
  <si>
    <t>Face Wash,Sandalwood Face Wash,100ml,460.00</t>
  </si>
  <si>
    <t>Face Wash,Sandalwood Face Wash,50ml,290.00</t>
  </si>
  <si>
    <t>Face Wash,Papaya Face Wash,100ml,490.00</t>
  </si>
  <si>
    <t>Face Wash,Papaya Face Wash,50ml,280.00</t>
  </si>
  <si>
    <t>Face Wash,Cucumber Face Wash,100ml,450.00</t>
  </si>
  <si>
    <t>Face Wash,Cucumber Face Wash,50ml,280.00</t>
  </si>
  <si>
    <t>Face Wash,Carot Face Wash,100ml,280.00</t>
  </si>
  <si>
    <t>Face Wash,Carot Face Wash,50ml,160.00</t>
  </si>
  <si>
    <t>Face Wash,Raktha Chandan Face Wash,100ml,480.00</t>
  </si>
  <si>
    <t>Face Wash,Raktha Chandan Face Wash,50ml,320.00</t>
  </si>
  <si>
    <t>Balm,Jeewalepa Balm,115g,270.00</t>
  </si>
  <si>
    <t>Balm,Jeewalepa Balm,210g,195.00</t>
  </si>
  <si>
    <t>Balm,Jeewalepa Balm,305g,80.00</t>
  </si>
  <si>
    <t>Rasayana,Ranahansa (Gajabala),50g,2750.00</t>
  </si>
  <si>
    <t>Hand Wash,Weniwel Hand Wash,300ml,890.00</t>
  </si>
  <si>
    <t>Tea Bags,Iramusu (Tea Bags),2gx25,800.00</t>
  </si>
  <si>
    <t>Tea Bags,Cinnamon (Tea Bags),2gx25,600.00</t>
  </si>
  <si>
    <t>Tea Bags,Kothalahimbutu (Tea Bags),2gx25,350.00</t>
  </si>
  <si>
    <t>Tea Bags,Masbedda (Mix),2gx25,520.00</t>
  </si>
  <si>
    <t>Tea Bags,Masbedda (Mix),2gx10,280.00</t>
  </si>
  <si>
    <t>Tea Bags,Nelli Rasakinda,2gx25,440.00</t>
  </si>
  <si>
    <t>General,Paspanguwa,50g,140.00</t>
  </si>
  <si>
    <t>General,Peyawa,5g,40.00</t>
  </si>
  <si>
    <t>General,Thambumhodi (Rasam),5g,35.00</t>
  </si>
  <si>
    <t>General,Sudu Hadun Powder,50g,475.00</t>
  </si>
  <si>
    <t>General,Citronella Oil,50ml,380.00</t>
  </si>
  <si>
    <t>General,Weniwel Sanitizer,100ml,480.00</t>
  </si>
  <si>
    <t>General,Bulath Sape,30g,160.00</t>
  </si>
  <si>
    <t>Capsules,Ashwaganda Cap,250g,4740.00</t>
  </si>
  <si>
    <t>Capsules,Sudarshana Cap,250g,5910.00</t>
  </si>
  <si>
    <t>Rasa,Mruththyunjaya,250g,24000.00</t>
  </si>
  <si>
    <t>Rasa,Punarnawadi Mandura,250g,13000.00</t>
  </si>
  <si>
    <t>Rasa,Ramabana Rasa,250g,10200.00</t>
  </si>
  <si>
    <t>Rasa,Somanatha Rasa,250g,6060.00</t>
  </si>
  <si>
    <t>Rasa,Makaradwajaya,250g,185560.00</t>
  </si>
  <si>
    <t>Rasa,Swasakutara Rasa,250g,15050.00</t>
  </si>
  <si>
    <t>Rasa,Tribuwana Keerthi Rasa,250g,15550.00</t>
  </si>
  <si>
    <t>Rasa,Wathagajendra Rasa,250g,12680.00</t>
  </si>
  <si>
    <t>Modaka,Kameshwaree Modaka,50g,430.00</t>
  </si>
  <si>
    <t>Modaka,Madana Modaka,100g,750.00</t>
  </si>
  <si>
    <t>Oils &amp; Honey,Bee Honey,250ml,1500.00</t>
  </si>
  <si>
    <t>Oils &amp; Honey,Castor Oil,250ml,1040.00</t>
  </si>
  <si>
    <t>Oils &amp; Honey,Ghee,250ml,1900.00</t>
  </si>
  <si>
    <t>Oils &amp; Honey,Mee Oil,250ml,990.00</t>
  </si>
  <si>
    <t>Oils &amp; Honey,Khomba Oil,250ml,1150.00</t>
  </si>
  <si>
    <t>Oils &amp; Honey,Mustard Oil,250ml,920.00</t>
  </si>
  <si>
    <t>Oils &amp; Honey,Sesame Oil,250ml,750.00</t>
  </si>
  <si>
    <t>Mouth Wash,Mouth Wash (1/10 Pack),1 Pack,160.00</t>
  </si>
  <si>
    <t>Mouth Wash,Mouth Wash (25 Pack),1 Pack,340.00</t>
  </si>
  <si>
    <t>Shampoo,Komarika Shampoo,105ml,430.00</t>
  </si>
  <si>
    <t>Syrup,Dharani,750ml,2260.00</t>
  </si>
  <si>
    <t>Syrup,Dharani,200ml,650.00</t>
  </si>
  <si>
    <t>Syrup,Kantakaree,750ml,4520.00</t>
  </si>
  <si>
    <t>Syrup,Maduka,750ml,2590.00</t>
  </si>
  <si>
    <t>Syrup,Siddha Jeewa Mrutha,750ml,6400.00</t>
  </si>
  <si>
    <t>Syrup,Siddha Jeewa Mrutha,500ml,4280.00</t>
  </si>
  <si>
    <t>Syrup,Wasaka Sirap,750ml,1200.00</t>
  </si>
  <si>
    <t>Body Wash,Weniwel Body Wash,300ml,940.00</t>
  </si>
  <si>
    <t>Body Wash,Weniwel Body Wash,210ml,590.00</t>
  </si>
  <si>
    <t>Body Wash,Weniwel Body Wash,100ml,350.00</t>
  </si>
  <si>
    <t>Body Wash,Pancha Walkala BW,300ml,830.00</t>
  </si>
  <si>
    <t>Body Wash,Pancha Walkala BW,210ml,560.00</t>
  </si>
  <si>
    <t>Body Wash,Pancha Walkala BW,100ml,275.00</t>
  </si>
  <si>
    <t>Kalka,Buddharaja Kalka,250g,7515.00</t>
  </si>
  <si>
    <t>Kalka,Chandra Kalka,250g,1550.00</t>
  </si>
  <si>
    <t>Kalka,Desadun Kalka,400g,1840.00</t>
  </si>
  <si>
    <t>Kalka,Desadun Kalka,250g,1180.00</t>
  </si>
  <si>
    <t>Kalka,Nawarathna Kalka,250g,1000.00</t>
  </si>
  <si>
    <t>Kalka,Sharkaradi Kalka,250g,2050.00</t>
  </si>
  <si>
    <t>Lepa,Lakshadi,250g,1180.00</t>
  </si>
  <si>
    <t>Lepa,Roganikash,250g,1380.00</t>
  </si>
  <si>
    <t>Lepa,Thiladilepa,250g,1400.00</t>
  </si>
  <si>
    <t>Choorna,Awipaththikara,500g,2600.00</t>
  </si>
  <si>
    <t>Choorna,Ashwaganda,500g,1460.00</t>
  </si>
  <si>
    <t>Choorna,Bhushkaralawana,500g,2050.00</t>
  </si>
  <si>
    <t>Choorna,Dashanga Lepa,500g,3050.00</t>
  </si>
  <si>
    <t>Choorna,Dathree Choorna,500g,810.00</t>
  </si>
  <si>
    <t>Choorna,Hinguwashtaka,500g,7970.00</t>
  </si>
  <si>
    <t>Choorna,Hisathel Game Choorna,500g,5930.00</t>
  </si>
  <si>
    <t>Choorna,Jathipaladi,500g,1980.00</t>
  </si>
  <si>
    <t>Choorna,Katpala Choorna,500g,990.00</t>
  </si>
  <si>
    <t>Choorna,Manibadra,500g,1200.00</t>
  </si>
  <si>
    <t>Choorna,Pushyanuga,500g,4280.00</t>
  </si>
  <si>
    <t>Choorna,Seethopaladi,500g,3170.00</t>
  </si>
  <si>
    <t>Choorna,Shrungayadi,500g,4990.00</t>
  </si>
  <si>
    <t>Choorna,Sudarshana,500g,2710.00</t>
  </si>
  <si>
    <t>Choorna,Sukumara,500g,730.00</t>
  </si>
  <si>
    <t>Choorna,Thalisadi,500g,1970.00</t>
  </si>
  <si>
    <t>Choorna,Thripala,500g,1020.00</t>
  </si>
  <si>
    <t>Choorna,Wajjakshara,500g,3570.00</t>
  </si>
  <si>
    <t>Choorna,Safufe Surinjan,500g,2200.00</t>
  </si>
  <si>
    <t>Choorna,Shoolaharani,500g,1250.00</t>
  </si>
  <si>
    <t>Thailaya,Ashwaganda,750ml,6000.00</t>
  </si>
  <si>
    <t>Thailaya,Ashwaganda,700ml,4700.00</t>
  </si>
  <si>
    <t>Thailaya,Bakuchi,750ml,2450.00</t>
  </si>
  <si>
    <t>Thailaya,Bakuchi,700ml,2035.00</t>
  </si>
  <si>
    <t>Thailaya,Batu,750ml,5720.00</t>
  </si>
  <si>
    <t>Thailaya,Batu,700ml,5260.00</t>
  </si>
  <si>
    <t>Thailaya,Brungamalaka,750ml,6000.00</t>
  </si>
  <si>
    <t>Thailaya,Brungamalaka,700ml,5370.00</t>
  </si>
  <si>
    <t>Thailaya,Diwyanganadi,750ml,3170.00</t>
  </si>
  <si>
    <t>Thailaya,Diwyanganadi,700ml,2732.00</t>
  </si>
  <si>
    <t>Thailaya,Irimedadi,750ml,3780.00</t>
  </si>
  <si>
    <t>Thailaya,Irimedadi,700ml,3245.00</t>
  </si>
  <si>
    <t>Thailaya,Kedumbidum,750ml,3000.00</t>
  </si>
  <si>
    <t>Thailaya,Kedumbidum,700ml,2472.00</t>
  </si>
  <si>
    <t>Thailaya,Kolashleshma,750ml,5500.00</t>
  </si>
  <si>
    <t>Thailaya,Kolashleshma,700ml,5035.00</t>
  </si>
  <si>
    <t>Thailaya,Maha Koranda,750ml,6400.00</t>
  </si>
  <si>
    <t>Thailaya,Maha Koranda,700ml,5915.00</t>
  </si>
  <si>
    <t>Thailaya,Maha Masha,750ml,8250.00</t>
  </si>
  <si>
    <t>Thailaya,Maha Masha,700ml,7710.00</t>
  </si>
  <si>
    <t>Thailaya,Narayana,750ml,5950.00</t>
  </si>
  <si>
    <t>Thailaya,Narayana,700ml,5100.00</t>
  </si>
  <si>
    <t>Thailaya,Neelyadi,750ml,3710.00</t>
  </si>
  <si>
    <t>Thailaya,Neelyadi,700ml,3080.00</t>
  </si>
  <si>
    <t>Thailaya,Nilma,750ml,1750.00</t>
  </si>
  <si>
    <t>Thailaya,Nirgundiyadi,750ml,3650.00</t>
  </si>
  <si>
    <t>Thailaya,Nirgundiyadi,700ml,3350.00</t>
  </si>
  <si>
    <t>Thailaya,Pata,750ml,6300.00</t>
  </si>
  <si>
    <t>Thailaya,Pata,700ml,5145.00</t>
  </si>
  <si>
    <t>Thailaya,Pranajeewa,750ml,7090.00</t>
  </si>
  <si>
    <t>Thailaya,Peenus,750ml,4380.00</t>
  </si>
  <si>
    <t>Thailaya,Peenus,700ml,3745.00</t>
  </si>
  <si>
    <t>Thailaya,Pinda,750ml,3950.00</t>
  </si>
  <si>
    <t>Thailaya,Pinda,700ml,3165.00</t>
  </si>
  <si>
    <t>Thailaya,Sarshapadi,750ml,3450.00</t>
  </si>
  <si>
    <t>Thailaya,Sarshapadi,700ml,2800.00</t>
  </si>
  <si>
    <t>Thailaya,Sarwavishadi,750ml,6240.00</t>
  </si>
  <si>
    <t>Thailaya,Sarwavishadi,700ml,5390.00</t>
  </si>
  <si>
    <t>Thailaya,Seethodaka,750ml,4500.00</t>
  </si>
  <si>
    <t>Thailaya,Seethodaka,700ml,3730.00</t>
  </si>
  <si>
    <t>Thailaya,Shoolahara,750ml,3550.00</t>
  </si>
  <si>
    <t>Thailaya,Shoolahara,700ml,3010.00</t>
  </si>
  <si>
    <t>Thailaya,Siddhartha,750ml,5500.00</t>
  </si>
  <si>
    <t>Thailaya,Siddhartha,700ml,5325.00</t>
  </si>
  <si>
    <t>Thailaya,Thripala,750ml,3600.00</t>
  </si>
  <si>
    <t>Thailaya,Thripala,700ml,3000.00</t>
  </si>
  <si>
    <t>Thailaya,Visarpahara,750ml,3560.00</t>
  </si>
  <si>
    <t>Thailaya,Wathawiduranga,750ml,8050.00</t>
  </si>
  <si>
    <t>Thailaya,Wathawiduranga,700ml,7225.00</t>
  </si>
  <si>
    <t>Thailaya,Kenda Peralum Thailaya,750ml,3272.00</t>
  </si>
  <si>
    <t>Vati,Chandrapraba Wati,250g,3950.00</t>
  </si>
  <si>
    <t>Vati,Krimigathani Wati,250g,3225.00</t>
  </si>
  <si>
    <t>Vati,Jeewananda Wati,250g,10900.00</t>
  </si>
  <si>
    <t>Vati,Maha Sanka Wati,250g,11300.00</t>
  </si>
  <si>
    <t>Vati,Maha Sanka Wati,50g,2310.00</t>
  </si>
  <si>
    <t>Vati,Sarpaganda Wati,250g,1330.00</t>
  </si>
  <si>
    <t>Vati,Arogyawardhana Wati,250g,9000.00</t>
  </si>
  <si>
    <t>Vati,Seetharama Wati,250g,5300.00</t>
  </si>
  <si>
    <t>Vati,Suranvidura Wati,250g,7960.00</t>
  </si>
  <si>
    <t>Guggulu,Gokshuradi Gugul,250g,4480.00</t>
  </si>
  <si>
    <t>Guggulu,Kaishor Gugul,250g,4110.00</t>
  </si>
  <si>
    <t>Guggulu,Yogaraja Gugul,250g,3470.00</t>
  </si>
  <si>
    <t>Guggulu,Kanchanara Gugul,250g,3030.00</t>
  </si>
  <si>
    <t>Guggulu,Kanchanara Gugul,100g,1250.00</t>
  </si>
  <si>
    <t>Tablets,Daripala Pethi,250g,1000.00</t>
  </si>
  <si>
    <t>Tablets,Medhaharani Pethi,250g,1500.00</t>
  </si>
  <si>
    <t>Tablets,Daruparpata Pethi,250g,2620.00</t>
  </si>
  <si>
    <t>Tablets,Daruparpata Pethi,200g,2120.00</t>
  </si>
  <si>
    <t>Tablets,Sudarshana Pethi,250g,3250.00</t>
  </si>
  <si>
    <t>Tablets,Sudarshana Pethi,200g,2650.00</t>
  </si>
  <si>
    <t>Tablets,Aralu Pethi,250g,798.00</t>
  </si>
  <si>
    <t>Tablets,Panchamoola Lagu Pethi,250g,5647.00</t>
  </si>
  <si>
    <t>Tablets,Panchamoola Lagu Pethi,200g,4525.00</t>
  </si>
  <si>
    <t>Tablets,Denibadiya Kasaya Pethi,200g,2570.00</t>
  </si>
  <si>
    <t>Tablets,Panthimoola Bala Shun,200g,2970.00</t>
  </si>
  <si>
    <t>Tablets,Rashna Sapthaka Pethi,200g,2630.00</t>
  </si>
  <si>
    <t>Tablets,Eranda Sapthaka Pethi,200g,1780.00</t>
  </si>
  <si>
    <t>Hand Jel,Etho Komarika Hand Jel,300ml,900.00</t>
  </si>
  <si>
    <t>Hand Jel,Etho Komarika Hand Jel,65ml,235.00</t>
  </si>
  <si>
    <t>Hand Jel,Etho Komarika Hand Jel,50ml,190.00</t>
  </si>
  <si>
    <t>New Products,Wili Pottani,1 Box,500.00</t>
  </si>
  <si>
    <t>New Products,First Aid Box,1 Box,6600.00</t>
  </si>
  <si>
    <t>New Products,Essential Oil Pack,1 Box,1425.00</t>
  </si>
  <si>
    <t>Blister Pack,Kaishor Gugul,30s,462.00</t>
  </si>
  <si>
    <t>Blister Pack,Gokshura Gugul,30s,520.00</t>
  </si>
  <si>
    <t>Blister Pack,Yogaraja Gugul,30s,445.00</t>
  </si>
  <si>
    <t>Blister Pack,Meda Harani Pethi,30s,368.00</t>
  </si>
  <si>
    <t>Blister Pack,Thripala Pethi,30s,329.00</t>
  </si>
  <si>
    <t>Blister Pack,Sudarshana Pethi,30s,414.00</t>
  </si>
  <si>
    <t>Blister Pack,Daruparpata Pethi,30s,613.00</t>
  </si>
  <si>
    <t>Blister Pack,Sudarshana Capsule,30s,553.00</t>
  </si>
  <si>
    <t>Blister Pack,Suwadarani Capsule,30s,530.00</t>
  </si>
  <si>
    <t>Blister Pack,Cinnamon Capsule,30s,507.00</t>
  </si>
  <si>
    <t>Blister Pack,Kothalahimbutu Capsule,30s,492.00</t>
  </si>
  <si>
    <t>Blister Pack,Dathri Capsule,30s,537.00</t>
  </si>
  <si>
    <t>Blister Pack,Medaharani Capsule,30s,491.00</t>
  </si>
  <si>
    <t>Blister Pack,Ashwaganda Capsule,30s,549.00</t>
  </si>
  <si>
    <t>Blister Pack,Tribuwan Keerthi Rasa,30s,531.00</t>
  </si>
  <si>
    <t>Blister Pack,Punarnawadi Mandura,30s,1143.00</t>
  </si>
  <si>
    <t>Blister Pack,Mruthyunjaya Rasa,30s,714.00</t>
  </si>
  <si>
    <t>Blister Pack,Ramabana Rasa,30s,445.00</t>
  </si>
  <si>
    <t>Blister Pack,Wathagajendrasinha,30s,447.00</t>
  </si>
  <si>
    <t>Blister Pack,Swasa Kutara Rasa,30s,620.00</t>
  </si>
  <si>
    <t>Blister Pack,Somanatha Rasa,30s,327.00</t>
  </si>
  <si>
    <t>Blister Pack,Arogya Wardana Vati,30s,394.00</t>
  </si>
  <si>
    <t>Blister Pack,Krimi Gathani Vati,30s,344.00</t>
  </si>
  <si>
    <t>Blister Pack,Seetharama Vati,30s,341.00</t>
  </si>
  <si>
    <t>Blister Pack,Jeewananda Vati,30s,440.00</t>
  </si>
  <si>
    <t>Blister Pack,Suran Vidura Vati,30s,384.00</t>
  </si>
  <si>
    <t>Blister Pack,Maha Sanka Vati,30s,1329.00</t>
  </si>
  <si>
    <t>Blister Pack,Sarpagandha Vati,30s,316.00</t>
  </si>
  <si>
    <t>Blister Pack,Chandraprabha Vati,30s,516.00</t>
  </si>
  <si>
    <t>Daily Expenditure Summary</t>
  </si>
  <si>
    <t>Total Quantity Expended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</si>
  <si>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</si>
  <si>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</si>
  <si>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</si>
  <si>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</si>
  <si>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</si>
  <si>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</si>
  <si>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</si>
  <si>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</si>
  <si>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</si>
  <si>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</si>
  <si>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</si>
  <si>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</si>
  <si>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Sheet 4: Monthly Summary</t>
  </si>
  <si>
    <t>Month (YYYY-MM)</t>
  </si>
  <si>
    <t>Total Qty Expended</t>
  </si>
  <si>
    <t>Daily Prescriptions'!C:C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</si>
</sst>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LKR &quot;#,##0.00"/>
    <numFmt numFmtId="165" formatCode="yyyy-mm"/>
  </numFmts>
  <fonts count="6">
    <font>
      <sz val="11.0"/>
      <color theme="1"/>
      <name val="Calibri"/>
      <scheme val="minor"/>
    </font>
    <font>
      <b/>
      <sz val="16.0"/>
      <color rgb="FF1F497D"/>
      <name val="Quattrocento Sans"/>
    </font>
    <font>
      <b/>
      <sz val="11.0"/>
      <color rgb="FFFFFFFF"/>
      <name val="Quattrocento Sans"/>
    </font>
    <font>
      <sz val="11.0"/>
      <color theme="1"/>
      <name val="Quattrocento Sans"/>
    </font>
    <font>
      <color theme="1"/>
      <name val="Calibri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ill="1" applyFont="1">
      <alignment horizontal="center"/>
    </xf>
    <xf borderId="2" fillId="3" fontId="3" numFmtId="0" xfId="0" applyBorder="1" applyFont="1"/>
    <xf borderId="2" fillId="3" fontId="3" numFmtId="164" xfId="0" applyBorder="1" applyFont="1" applyNumberFormat="1"/>
    <xf borderId="2" fillId="0" fontId="3" numFmtId="0" xfId="0" applyAlignment="1" applyBorder="1" applyFont="1">
      <alignment horizontal="center"/>
    </xf>
    <xf borderId="2" fillId="0" fontId="3" numFmtId="0" xfId="0" applyBorder="1" applyFont="1"/>
    <xf borderId="2" fillId="0" fontId="3" numFmtId="164" xfId="0" applyBorder="1" applyFont="1" applyNumberFormat="1"/>
    <xf borderId="2" fillId="3" fontId="3" numFmtId="0" xfId="0" applyAlignment="1" applyBorder="1" applyFont="1">
      <alignment horizontal="center" readingOrder="0"/>
    </xf>
    <xf borderId="2" fillId="3" fontId="3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1" fillId="2" fontId="2" numFmtId="0" xfId="0" applyAlignment="1" applyBorder="1" applyFont="1">
      <alignment horizontal="center"/>
    </xf>
    <xf borderId="2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5" numFmtId="165" xfId="0" applyAlignment="1" applyFont="1" applyNumberFormat="1">
      <alignment horizontal="right" vertical="bottom"/>
    </xf>
    <xf borderId="0" fillId="0" fontId="5" numFmtId="0" xfId="0" applyAlignment="1" applyFont="1">
      <alignment horizontal="center" vertical="bottom"/>
    </xf>
    <xf quotePrefix="1"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3" width="22.0"/>
    <col customWidth="1" min="4" max="4" width="19.0"/>
    <col customWidth="1" min="5" max="5" width="25.0"/>
    <col customWidth="1" min="6" max="6" width="12.0"/>
    <col customWidth="1" min="7" max="7" width="16.0"/>
    <col customWidth="1" min="8" max="8" width="14.0"/>
    <col customWidth="1" min="9" max="9" width="18.0"/>
    <col customWidth="1" min="10" max="26" width="8.7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>
      <c r="A4" s="3" t="s">
        <v>10</v>
      </c>
      <c r="B4" s="3" t="s">
        <v>11</v>
      </c>
      <c r="C4" s="4" t="s">
        <v>12</v>
      </c>
      <c r="D4" s="3">
        <v>15.0</v>
      </c>
      <c r="E4" s="3">
        <v>2.0</v>
      </c>
      <c r="F4" s="3">
        <v>3.0</v>
      </c>
      <c r="G4" s="3">
        <f t="shared" ref="G4:G21" si="1">D4*E4*F4</f>
        <v>90</v>
      </c>
      <c r="H4" s="5" t="str">
        <f>VLOOKUP(C4, 'Drug Database'!A:C, 3, FALSE)</f>
        <v>#N/A</v>
      </c>
      <c r="I4" s="5" t="str">
        <f t="shared" ref="I4:I34" si="2">G4*H4</f>
        <v>#N/A</v>
      </c>
    </row>
    <row r="5">
      <c r="A5" s="6" t="s">
        <v>10</v>
      </c>
      <c r="B5" s="6" t="s">
        <v>13</v>
      </c>
      <c r="C5" s="7" t="s">
        <v>12</v>
      </c>
      <c r="D5" s="6">
        <v>15.0</v>
      </c>
      <c r="E5" s="6">
        <v>2.0</v>
      </c>
      <c r="F5" s="6">
        <v>3.0</v>
      </c>
      <c r="G5" s="6">
        <f t="shared" si="1"/>
        <v>90</v>
      </c>
      <c r="H5" s="8" t="str">
        <f>VLOOKUP(C5, 'Drug Database'!A:C, 3, FALSE)</f>
        <v>#N/A</v>
      </c>
      <c r="I5" s="8" t="str">
        <f t="shared" si="2"/>
        <v>#N/A</v>
      </c>
    </row>
    <row r="6">
      <c r="A6" s="3" t="s">
        <v>10</v>
      </c>
      <c r="B6" s="3" t="s">
        <v>14</v>
      </c>
      <c r="C6" s="4" t="s">
        <v>12</v>
      </c>
      <c r="D6" s="3">
        <v>15.0</v>
      </c>
      <c r="E6" s="3">
        <v>2.0</v>
      </c>
      <c r="F6" s="3">
        <v>3.0</v>
      </c>
      <c r="G6" s="3">
        <f t="shared" si="1"/>
        <v>90</v>
      </c>
      <c r="H6" s="5" t="str">
        <f>VLOOKUP(C6, 'Drug Database'!A:C, 3, FALSE)</f>
        <v>#N/A</v>
      </c>
      <c r="I6" s="5" t="str">
        <f t="shared" si="2"/>
        <v>#N/A</v>
      </c>
    </row>
    <row r="7">
      <c r="A7" s="6" t="s">
        <v>10</v>
      </c>
      <c r="B7" s="6" t="s">
        <v>15</v>
      </c>
      <c r="C7" s="7" t="s">
        <v>12</v>
      </c>
      <c r="D7" s="6">
        <v>15.0</v>
      </c>
      <c r="E7" s="6">
        <v>2.0</v>
      </c>
      <c r="F7" s="6">
        <v>3.0</v>
      </c>
      <c r="G7" s="6">
        <f t="shared" si="1"/>
        <v>90</v>
      </c>
      <c r="H7" s="8" t="str">
        <f>VLOOKUP(C7, 'Drug Database'!A:C, 3, FALSE)</f>
        <v>#N/A</v>
      </c>
      <c r="I7" s="8" t="str">
        <f t="shared" si="2"/>
        <v>#N/A</v>
      </c>
    </row>
    <row r="8">
      <c r="A8" s="3" t="s">
        <v>10</v>
      </c>
      <c r="B8" s="9">
        <v>234.0</v>
      </c>
      <c r="C8" s="10" t="s">
        <v>12</v>
      </c>
      <c r="D8" s="3">
        <v>15.0</v>
      </c>
      <c r="E8" s="3">
        <v>2.0</v>
      </c>
      <c r="F8" s="3">
        <v>3.0</v>
      </c>
      <c r="G8" s="3">
        <f t="shared" si="1"/>
        <v>90</v>
      </c>
      <c r="H8" s="5" t="str">
        <f>VLOOKUP(C8, 'Drug Database'!A:C, 3, FALSE)</f>
        <v>#N/A</v>
      </c>
      <c r="I8" s="5" t="str">
        <f t="shared" si="2"/>
        <v>#N/A</v>
      </c>
    </row>
    <row r="9">
      <c r="A9" s="3" t="s">
        <v>10</v>
      </c>
      <c r="B9" s="11">
        <v>234.0</v>
      </c>
      <c r="C9" s="11" t="s">
        <v>16</v>
      </c>
      <c r="D9" s="11">
        <v>2.0</v>
      </c>
      <c r="E9" s="11">
        <v>2.0</v>
      </c>
      <c r="F9" s="11">
        <v>3.0</v>
      </c>
      <c r="G9" s="3">
        <f t="shared" si="1"/>
        <v>12</v>
      </c>
      <c r="H9" s="5" t="str">
        <f>VLOOKUP(C9, 'Drug Database'!A:C, 3, FALSE)</f>
        <v>#N/A</v>
      </c>
      <c r="I9" s="5" t="str">
        <f t="shared" si="2"/>
        <v>#N/A</v>
      </c>
    </row>
    <row r="10">
      <c r="G10" s="6">
        <f t="shared" si="1"/>
        <v>0</v>
      </c>
      <c r="H10" s="8" t="str">
        <f>VLOOKUP(C10, 'Drug Database'!A:C, 3, FALSE)</f>
        <v>#N/A</v>
      </c>
      <c r="I10" s="8" t="str">
        <f t="shared" si="2"/>
        <v>#N/A</v>
      </c>
    </row>
    <row r="11">
      <c r="G11" s="3">
        <f t="shared" si="1"/>
        <v>0</v>
      </c>
      <c r="H11" s="5" t="str">
        <f>VLOOKUP(C11, 'Drug Database'!A:C, 3, FALSE)</f>
        <v>#N/A</v>
      </c>
      <c r="I11" s="5" t="str">
        <f t="shared" si="2"/>
        <v>#N/A</v>
      </c>
    </row>
    <row r="12">
      <c r="G12" s="6">
        <f t="shared" si="1"/>
        <v>0</v>
      </c>
      <c r="H12" s="8" t="str">
        <f>VLOOKUP(C12, 'Drug Database'!A:C, 3, FALSE)</f>
        <v>#N/A</v>
      </c>
      <c r="I12" s="8" t="str">
        <f t="shared" si="2"/>
        <v>#N/A</v>
      </c>
    </row>
    <row r="13">
      <c r="G13" s="3">
        <f t="shared" si="1"/>
        <v>0</v>
      </c>
      <c r="H13" s="5" t="str">
        <f>VLOOKUP(C13, 'Drug Database'!A:C, 3, FALSE)</f>
        <v>#N/A</v>
      </c>
      <c r="I13" s="5" t="str">
        <f t="shared" si="2"/>
        <v>#N/A</v>
      </c>
    </row>
    <row r="14">
      <c r="G14" s="3">
        <f t="shared" si="1"/>
        <v>0</v>
      </c>
      <c r="H14" s="5" t="str">
        <f>VLOOKUP(C14, 'Drug Database'!A:C, 3, FALSE)</f>
        <v>#N/A</v>
      </c>
      <c r="I14" s="5" t="str">
        <f t="shared" si="2"/>
        <v>#N/A</v>
      </c>
    </row>
    <row r="15">
      <c r="G15" s="6">
        <f t="shared" si="1"/>
        <v>0</v>
      </c>
      <c r="H15" s="8" t="str">
        <f>VLOOKUP(C15, 'Drug Database'!A:C, 3, FALSE)</f>
        <v>#N/A</v>
      </c>
      <c r="I15" s="8" t="str">
        <f t="shared" si="2"/>
        <v>#N/A</v>
      </c>
    </row>
    <row r="16">
      <c r="G16" s="3">
        <f t="shared" si="1"/>
        <v>0</v>
      </c>
      <c r="H16" s="5" t="str">
        <f>VLOOKUP(C16, 'Drug Database'!A:C, 3, FALSE)</f>
        <v>#N/A</v>
      </c>
      <c r="I16" s="5" t="str">
        <f t="shared" si="2"/>
        <v>#N/A</v>
      </c>
    </row>
    <row r="17">
      <c r="G17" s="6">
        <f t="shared" si="1"/>
        <v>0</v>
      </c>
      <c r="H17" s="8" t="str">
        <f>VLOOKUP(C17, 'Drug Database'!A:C, 3, FALSE)</f>
        <v>#N/A</v>
      </c>
      <c r="I17" s="8" t="str">
        <f t="shared" si="2"/>
        <v>#N/A</v>
      </c>
    </row>
    <row r="18">
      <c r="G18" s="3">
        <f t="shared" si="1"/>
        <v>0</v>
      </c>
      <c r="H18" s="5" t="str">
        <f>VLOOKUP(C18, 'Drug Database'!A:C, 3, FALSE)</f>
        <v>#N/A</v>
      </c>
      <c r="I18" s="5" t="str">
        <f t="shared" si="2"/>
        <v>#N/A</v>
      </c>
    </row>
    <row r="19">
      <c r="G19" s="3">
        <f t="shared" si="1"/>
        <v>0</v>
      </c>
      <c r="H19" s="5" t="str">
        <f>VLOOKUP(C19, 'Drug Database'!A:C, 3, FALSE)</f>
        <v>#N/A</v>
      </c>
      <c r="I19" s="5" t="str">
        <f t="shared" si="2"/>
        <v>#N/A</v>
      </c>
    </row>
    <row r="20">
      <c r="G20" s="6">
        <f t="shared" si="1"/>
        <v>0</v>
      </c>
      <c r="H20" s="8" t="str">
        <f>VLOOKUP(C20, 'Drug Database'!A:C, 3, FALSE)</f>
        <v>#N/A</v>
      </c>
      <c r="I20" s="8" t="str">
        <f t="shared" si="2"/>
        <v>#N/A</v>
      </c>
    </row>
    <row r="21" ht="15.75" customHeight="1">
      <c r="G21" s="3">
        <f t="shared" si="1"/>
        <v>0</v>
      </c>
      <c r="H21" s="5" t="str">
        <f>VLOOKUP(C21, 'Drug Database'!A:C, 3, FALSE)</f>
        <v>#N/A</v>
      </c>
      <c r="I21" s="5" t="str">
        <f t="shared" si="2"/>
        <v>#N/A</v>
      </c>
    </row>
    <row r="22" ht="15.75" customHeight="1">
      <c r="H22" s="8" t="str">
        <f>VLOOKUP(C22, 'Drug Database'!A:C, 3, FALSE)</f>
        <v>#N/A</v>
      </c>
      <c r="I22" s="8" t="str">
        <f t="shared" si="2"/>
        <v>#N/A</v>
      </c>
    </row>
    <row r="23" ht="15.75" customHeight="1">
      <c r="H23" s="5" t="str">
        <f>VLOOKUP(C23, 'Drug Database'!A:C, 3, FALSE)</f>
        <v>#N/A</v>
      </c>
      <c r="I23" s="5" t="str">
        <f t="shared" si="2"/>
        <v>#N/A</v>
      </c>
    </row>
    <row r="24" ht="15.75" customHeight="1">
      <c r="H24" s="5" t="str">
        <f>VLOOKUP(C24, 'Drug Database'!A:C, 3, FALSE)</f>
        <v>#N/A</v>
      </c>
      <c r="I24" s="5" t="str">
        <f t="shared" si="2"/>
        <v>#N/A</v>
      </c>
    </row>
    <row r="25" ht="15.75" customHeight="1">
      <c r="H25" s="8" t="str">
        <f>VLOOKUP(C25, 'Drug Database'!A:C, 3, FALSE)</f>
        <v>#N/A</v>
      </c>
      <c r="I25" s="8" t="str">
        <f t="shared" si="2"/>
        <v>#N/A</v>
      </c>
    </row>
    <row r="26" ht="15.75" customHeight="1">
      <c r="H26" s="5" t="str">
        <f>VLOOKUP(C26, 'Drug Database'!A:C, 3, FALSE)</f>
        <v>#N/A</v>
      </c>
      <c r="I26" s="5" t="str">
        <f t="shared" si="2"/>
        <v>#N/A</v>
      </c>
    </row>
    <row r="27" ht="15.75" customHeight="1">
      <c r="H27" s="8" t="str">
        <f>VLOOKUP(C27, 'Drug Database'!A:C, 3, FALSE)</f>
        <v>#N/A</v>
      </c>
      <c r="I27" s="8" t="str">
        <f t="shared" si="2"/>
        <v>#N/A</v>
      </c>
    </row>
    <row r="28" ht="15.75" customHeight="1">
      <c r="H28" s="5" t="str">
        <f>VLOOKUP(C28, 'Drug Database'!A:C, 3, FALSE)</f>
        <v>#N/A</v>
      </c>
      <c r="I28" s="5" t="str">
        <f t="shared" si="2"/>
        <v>#N/A</v>
      </c>
    </row>
    <row r="29" ht="15.75" customHeight="1">
      <c r="H29" s="5" t="str">
        <f>VLOOKUP(C29, 'Drug Database'!A:C, 3, FALSE)</f>
        <v>#N/A</v>
      </c>
      <c r="I29" s="5" t="str">
        <f t="shared" si="2"/>
        <v>#N/A</v>
      </c>
    </row>
    <row r="30" ht="15.75" customHeight="1">
      <c r="H30" s="8" t="str">
        <f>VLOOKUP(C30, 'Drug Database'!A:C, 3, FALSE)</f>
        <v>#N/A</v>
      </c>
      <c r="I30" s="8" t="str">
        <f t="shared" si="2"/>
        <v>#N/A</v>
      </c>
    </row>
    <row r="31" ht="15.75" customHeight="1">
      <c r="H31" s="5" t="str">
        <f>VLOOKUP(C31, 'Drug Database'!A:C, 3, FALSE)</f>
        <v>#N/A</v>
      </c>
      <c r="I31" s="5" t="str">
        <f t="shared" si="2"/>
        <v>#N/A</v>
      </c>
    </row>
    <row r="32" ht="15.75" customHeight="1">
      <c r="H32" s="8" t="str">
        <f>VLOOKUP(C32, 'Drug Database'!A:C, 3, FALSE)</f>
        <v>#N/A</v>
      </c>
      <c r="I32" s="8" t="str">
        <f t="shared" si="2"/>
        <v>#N/A</v>
      </c>
    </row>
    <row r="33" ht="15.75" customHeight="1">
      <c r="H33" s="5" t="str">
        <f>VLOOKUP(C33, 'Drug Database'!A:C, 3, FALSE)</f>
        <v>#N/A</v>
      </c>
      <c r="I33" s="5" t="str">
        <f t="shared" si="2"/>
        <v>#N/A</v>
      </c>
    </row>
    <row r="34" ht="15.75" customHeight="1">
      <c r="H34" s="5" t="str">
        <f>VLOOKUP(C34, 'Drug Database'!A:C, 3, FALSE)</f>
        <v>#N/A</v>
      </c>
      <c r="I34" s="5" t="str">
        <f t="shared" si="2"/>
        <v>#N/A</v>
      </c>
    </row>
    <row r="35" ht="15.75" customHeight="1">
      <c r="H35" s="8" t="str">
        <f>VLOOKUP(C35, 'Drug Database'!A:C, 3, FALSE)</f>
        <v>#N/A</v>
      </c>
    </row>
    <row r="36" ht="15.75" customHeight="1">
      <c r="H36" s="5" t="str">
        <f>VLOOKUP(C36, 'Drug Database'!A:C, 3, FALSE)</f>
        <v>#N/A</v>
      </c>
    </row>
    <row r="37" ht="15.75" customHeight="1">
      <c r="H37" s="8" t="str">
        <f>VLOOKUP(C37, 'Drug Database'!A:C, 3, FALSE)</f>
        <v>#N/A</v>
      </c>
    </row>
    <row r="38" ht="15.75" customHeight="1">
      <c r="H38" s="5" t="str">
        <f>VLOOKUP(C38, 'Drug Database'!A:C, 3, FALSE)</f>
        <v>#N/A</v>
      </c>
    </row>
    <row r="39" ht="15.75" customHeight="1">
      <c r="H39" s="5" t="str">
        <f>VLOOKUP(C39, 'Drug Database'!A:C, 3, FALSE)</f>
        <v>#N/A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2.0"/>
    <col customWidth="1" min="3" max="3" width="20.0"/>
    <col customWidth="1" min="4" max="26" width="8.71"/>
  </cols>
  <sheetData>
    <row r="1">
      <c r="A1" s="1" t="s">
        <v>17</v>
      </c>
    </row>
    <row r="3">
      <c r="A3" s="12" t="s">
        <v>3</v>
      </c>
      <c r="B3" s="12" t="s">
        <v>18</v>
      </c>
      <c r="C3" s="12" t="s">
        <v>19</v>
      </c>
    </row>
    <row r="4">
      <c r="A4" s="13" t="s">
        <v>20</v>
      </c>
      <c r="B4" s="7"/>
      <c r="C4" s="8"/>
    </row>
    <row r="5">
      <c r="A5" s="13" t="s">
        <v>21</v>
      </c>
      <c r="B5" s="7"/>
      <c r="C5" s="8"/>
    </row>
    <row r="6">
      <c r="A6" s="13" t="s">
        <v>22</v>
      </c>
      <c r="B6" s="7"/>
      <c r="C6" s="8"/>
    </row>
    <row r="7">
      <c r="A7" s="13" t="s">
        <v>23</v>
      </c>
      <c r="B7" s="7"/>
      <c r="C7" s="8"/>
    </row>
    <row r="8">
      <c r="A8" s="14" t="s">
        <v>24</v>
      </c>
      <c r="C8" s="8"/>
    </row>
    <row r="9">
      <c r="A9" s="14" t="s">
        <v>25</v>
      </c>
    </row>
    <row r="10">
      <c r="A10" s="14" t="s">
        <v>26</v>
      </c>
    </row>
    <row r="11">
      <c r="A11" s="14" t="s">
        <v>27</v>
      </c>
    </row>
    <row r="12">
      <c r="A12" s="14" t="s">
        <v>28</v>
      </c>
    </row>
    <row r="13">
      <c r="A13" s="14" t="s">
        <v>29</v>
      </c>
    </row>
    <row r="14">
      <c r="A14" s="14" t="s">
        <v>30</v>
      </c>
    </row>
    <row r="15">
      <c r="A15" s="14" t="s">
        <v>31</v>
      </c>
    </row>
    <row r="16">
      <c r="A16" s="14" t="s">
        <v>32</v>
      </c>
    </row>
    <row r="17">
      <c r="A17" s="14" t="s">
        <v>33</v>
      </c>
    </row>
    <row r="18">
      <c r="A18" s="14" t="s">
        <v>34</v>
      </c>
    </row>
    <row r="19">
      <c r="A19" s="14" t="s">
        <v>35</v>
      </c>
    </row>
    <row r="20">
      <c r="A20" s="14" t="s">
        <v>36</v>
      </c>
    </row>
    <row r="21" ht="15.75" customHeight="1">
      <c r="A21" s="14" t="s">
        <v>37</v>
      </c>
    </row>
    <row r="22" ht="15.75" customHeight="1">
      <c r="A22" s="14" t="s">
        <v>38</v>
      </c>
    </row>
    <row r="23" ht="15.75" customHeight="1">
      <c r="A23" s="14" t="s">
        <v>39</v>
      </c>
    </row>
    <row r="24" ht="15.75" customHeight="1">
      <c r="A24" s="14" t="s">
        <v>40</v>
      </c>
    </row>
    <row r="25" ht="15.75" customHeight="1">
      <c r="A25" s="14" t="s">
        <v>41</v>
      </c>
    </row>
    <row r="26" ht="15.75" customHeight="1">
      <c r="A26" s="14" t="s">
        <v>42</v>
      </c>
    </row>
    <row r="27" ht="15.75" customHeight="1">
      <c r="A27" s="14" t="s">
        <v>43</v>
      </c>
    </row>
    <row r="28" ht="15.75" customHeight="1">
      <c r="A28" s="14" t="s">
        <v>44</v>
      </c>
    </row>
    <row r="29" ht="15.75" customHeight="1">
      <c r="A29" s="14" t="s">
        <v>45</v>
      </c>
    </row>
    <row r="30" ht="15.75" customHeight="1">
      <c r="A30" s="14" t="s">
        <v>46</v>
      </c>
    </row>
    <row r="31" ht="15.75" customHeight="1">
      <c r="A31" s="14" t="s">
        <v>47</v>
      </c>
    </row>
    <row r="32" ht="15.75" customHeight="1">
      <c r="A32" s="14" t="s">
        <v>48</v>
      </c>
    </row>
    <row r="33" ht="15.75" customHeight="1">
      <c r="A33" s="14" t="s">
        <v>49</v>
      </c>
    </row>
    <row r="34" ht="15.75" customHeight="1">
      <c r="A34" s="14" t="s">
        <v>50</v>
      </c>
    </row>
    <row r="35" ht="15.75" customHeight="1">
      <c r="A35" s="14" t="s">
        <v>51</v>
      </c>
    </row>
    <row r="36" ht="15.75" customHeight="1">
      <c r="A36" s="14" t="s">
        <v>52</v>
      </c>
    </row>
    <row r="37" ht="15.75" customHeight="1">
      <c r="A37" s="14" t="s">
        <v>53</v>
      </c>
    </row>
    <row r="38" ht="15.75" customHeight="1">
      <c r="A38" s="14" t="s">
        <v>54</v>
      </c>
    </row>
    <row r="39" ht="15.75" customHeight="1">
      <c r="A39" s="14" t="s">
        <v>55</v>
      </c>
    </row>
    <row r="40" ht="15.75" customHeight="1">
      <c r="A40" s="14" t="s">
        <v>56</v>
      </c>
    </row>
    <row r="41" ht="15.75" customHeight="1">
      <c r="A41" s="14" t="s">
        <v>57</v>
      </c>
    </row>
    <row r="42" ht="15.75" customHeight="1">
      <c r="A42" s="14" t="s">
        <v>58</v>
      </c>
    </row>
    <row r="43" ht="15.75" customHeight="1">
      <c r="A43" s="14" t="s">
        <v>59</v>
      </c>
    </row>
    <row r="44" ht="15.75" customHeight="1">
      <c r="A44" s="14" t="s">
        <v>60</v>
      </c>
    </row>
    <row r="45" ht="15.75" customHeight="1">
      <c r="A45" s="14" t="s">
        <v>61</v>
      </c>
    </row>
    <row r="46" ht="15.75" customHeight="1">
      <c r="A46" s="14" t="s">
        <v>62</v>
      </c>
    </row>
    <row r="47" ht="15.75" customHeight="1">
      <c r="A47" s="14" t="s">
        <v>63</v>
      </c>
    </row>
    <row r="48" ht="15.75" customHeight="1">
      <c r="A48" s="14" t="s">
        <v>64</v>
      </c>
    </row>
    <row r="49" ht="15.75" customHeight="1">
      <c r="A49" s="14" t="s">
        <v>65</v>
      </c>
    </row>
    <row r="50" ht="15.75" customHeight="1">
      <c r="A50" s="14" t="s">
        <v>66</v>
      </c>
    </row>
    <row r="51" ht="15.75" customHeight="1">
      <c r="A51" s="14" t="s">
        <v>67</v>
      </c>
    </row>
    <row r="52" ht="15.75" customHeight="1">
      <c r="A52" s="14" t="s">
        <v>68</v>
      </c>
    </row>
    <row r="53" ht="15.75" customHeight="1">
      <c r="A53" s="14" t="s">
        <v>69</v>
      </c>
    </row>
    <row r="54" ht="15.75" customHeight="1">
      <c r="A54" s="14" t="s">
        <v>70</v>
      </c>
    </row>
    <row r="55" ht="15.75" customHeight="1">
      <c r="A55" s="14" t="s">
        <v>71</v>
      </c>
    </row>
    <row r="56" ht="15.75" customHeight="1">
      <c r="A56" s="14" t="s">
        <v>72</v>
      </c>
    </row>
    <row r="57" ht="15.75" customHeight="1">
      <c r="A57" s="14" t="s">
        <v>73</v>
      </c>
    </row>
    <row r="58" ht="15.75" customHeight="1">
      <c r="A58" s="14" t="s">
        <v>74</v>
      </c>
    </row>
    <row r="59" ht="15.75" customHeight="1">
      <c r="A59" s="14" t="s">
        <v>75</v>
      </c>
    </row>
    <row r="60" ht="15.75" customHeight="1">
      <c r="A60" s="14" t="s">
        <v>76</v>
      </c>
    </row>
    <row r="61" ht="15.75" customHeight="1">
      <c r="A61" s="14" t="s">
        <v>77</v>
      </c>
    </row>
    <row r="62" ht="15.75" customHeight="1">
      <c r="A62" s="14" t="s">
        <v>78</v>
      </c>
    </row>
    <row r="63" ht="15.75" customHeight="1">
      <c r="A63" s="14" t="s">
        <v>79</v>
      </c>
    </row>
    <row r="64" ht="15.75" customHeight="1">
      <c r="A64" s="14" t="s">
        <v>80</v>
      </c>
    </row>
    <row r="65" ht="15.75" customHeight="1">
      <c r="A65" s="14" t="s">
        <v>81</v>
      </c>
    </row>
    <row r="66" ht="15.75" customHeight="1">
      <c r="A66" s="14" t="s">
        <v>82</v>
      </c>
    </row>
    <row r="67" ht="15.75" customHeight="1">
      <c r="A67" s="14" t="s">
        <v>83</v>
      </c>
    </row>
    <row r="68" ht="15.75" customHeight="1">
      <c r="A68" s="14" t="s">
        <v>84</v>
      </c>
    </row>
    <row r="69" ht="15.75" customHeight="1">
      <c r="A69" s="14" t="s">
        <v>85</v>
      </c>
    </row>
    <row r="70" ht="15.75" customHeight="1">
      <c r="A70" s="14" t="s">
        <v>86</v>
      </c>
    </row>
    <row r="71" ht="15.75" customHeight="1">
      <c r="A71" s="14" t="s">
        <v>87</v>
      </c>
    </row>
    <row r="72" ht="15.75" customHeight="1">
      <c r="A72" s="14" t="s">
        <v>88</v>
      </c>
    </row>
    <row r="73" ht="15.75" customHeight="1">
      <c r="A73" s="14" t="s">
        <v>89</v>
      </c>
    </row>
    <row r="74" ht="15.75" customHeight="1">
      <c r="A74" s="14" t="s">
        <v>90</v>
      </c>
    </row>
    <row r="75" ht="15.75" customHeight="1">
      <c r="A75" s="14" t="s">
        <v>91</v>
      </c>
    </row>
    <row r="76" ht="15.75" customHeight="1">
      <c r="A76" s="14" t="s">
        <v>92</v>
      </c>
    </row>
    <row r="77" ht="15.75" customHeight="1">
      <c r="A77" s="14" t="s">
        <v>93</v>
      </c>
    </row>
    <row r="78" ht="15.75" customHeight="1">
      <c r="A78" s="14" t="s">
        <v>94</v>
      </c>
    </row>
    <row r="79" ht="15.75" customHeight="1">
      <c r="A79" s="14" t="s">
        <v>95</v>
      </c>
    </row>
    <row r="80" ht="15.75" customHeight="1">
      <c r="A80" s="14" t="s">
        <v>96</v>
      </c>
    </row>
    <row r="81" ht="15.75" customHeight="1">
      <c r="A81" s="14" t="s">
        <v>97</v>
      </c>
    </row>
    <row r="82" ht="15.75" customHeight="1">
      <c r="A82" s="14" t="s">
        <v>98</v>
      </c>
    </row>
    <row r="83" ht="15.75" customHeight="1">
      <c r="A83" s="14" t="s">
        <v>99</v>
      </c>
    </row>
    <row r="84" ht="15.75" customHeight="1">
      <c r="A84" s="14" t="s">
        <v>100</v>
      </c>
    </row>
    <row r="85" ht="15.75" customHeight="1">
      <c r="A85" s="14" t="s">
        <v>101</v>
      </c>
    </row>
    <row r="86" ht="15.75" customHeight="1">
      <c r="A86" s="14" t="s">
        <v>102</v>
      </c>
    </row>
    <row r="87" ht="15.75" customHeight="1">
      <c r="A87" s="14" t="s">
        <v>103</v>
      </c>
    </row>
    <row r="88" ht="15.75" customHeight="1">
      <c r="A88" s="14" t="s">
        <v>104</v>
      </c>
    </row>
    <row r="89" ht="15.75" customHeight="1">
      <c r="A89" s="14" t="s">
        <v>105</v>
      </c>
    </row>
    <row r="90" ht="15.75" customHeight="1">
      <c r="A90" s="14" t="s">
        <v>106</v>
      </c>
    </row>
    <row r="91" ht="15.75" customHeight="1">
      <c r="A91" s="14" t="s">
        <v>107</v>
      </c>
    </row>
    <row r="92" ht="15.75" customHeight="1">
      <c r="A92" s="14" t="s">
        <v>108</v>
      </c>
    </row>
    <row r="93" ht="15.75" customHeight="1">
      <c r="A93" s="14" t="s">
        <v>109</v>
      </c>
    </row>
    <row r="94" ht="15.75" customHeight="1">
      <c r="A94" s="14" t="s">
        <v>110</v>
      </c>
    </row>
    <row r="95" ht="15.75" customHeight="1">
      <c r="A95" s="14" t="s">
        <v>111</v>
      </c>
    </row>
    <row r="96" ht="15.75" customHeight="1">
      <c r="A96" s="14" t="s">
        <v>112</v>
      </c>
    </row>
    <row r="97" ht="15.75" customHeight="1">
      <c r="A97" s="14" t="s">
        <v>113</v>
      </c>
    </row>
    <row r="98" ht="15.75" customHeight="1">
      <c r="A98" s="14" t="s">
        <v>114</v>
      </c>
    </row>
    <row r="99" ht="15.75" customHeight="1">
      <c r="A99" s="14" t="s">
        <v>115</v>
      </c>
    </row>
    <row r="100" ht="15.75" customHeight="1">
      <c r="A100" s="14" t="s">
        <v>116</v>
      </c>
    </row>
    <row r="101" ht="15.75" customHeight="1">
      <c r="A101" s="14" t="s">
        <v>117</v>
      </c>
    </row>
    <row r="102" ht="15.75" customHeight="1">
      <c r="A102" s="14" t="s">
        <v>118</v>
      </c>
    </row>
    <row r="103" ht="15.75" customHeight="1">
      <c r="A103" s="14" t="s">
        <v>119</v>
      </c>
    </row>
    <row r="104" ht="15.75" customHeight="1">
      <c r="A104" s="14" t="s">
        <v>120</v>
      </c>
    </row>
    <row r="105" ht="15.75" customHeight="1">
      <c r="A105" s="14" t="s">
        <v>121</v>
      </c>
    </row>
    <row r="106" ht="15.75" customHeight="1">
      <c r="A106" s="14" t="s">
        <v>122</v>
      </c>
    </row>
    <row r="107" ht="15.75" customHeight="1">
      <c r="A107" s="14" t="s">
        <v>123</v>
      </c>
    </row>
    <row r="108" ht="15.75" customHeight="1">
      <c r="A108" s="14" t="s">
        <v>124</v>
      </c>
    </row>
    <row r="109" ht="15.75" customHeight="1">
      <c r="A109" s="14" t="s">
        <v>125</v>
      </c>
    </row>
    <row r="110" ht="15.75" customHeight="1">
      <c r="A110" s="14" t="s">
        <v>126</v>
      </c>
    </row>
    <row r="111" ht="15.75" customHeight="1">
      <c r="A111" s="14" t="s">
        <v>127</v>
      </c>
    </row>
    <row r="112" ht="15.75" customHeight="1">
      <c r="A112" s="14" t="s">
        <v>128</v>
      </c>
    </row>
    <row r="113" ht="15.75" customHeight="1">
      <c r="A113" s="14" t="s">
        <v>129</v>
      </c>
    </row>
    <row r="114" ht="15.75" customHeight="1">
      <c r="A114" s="14" t="s">
        <v>130</v>
      </c>
    </row>
    <row r="115" ht="15.75" customHeight="1">
      <c r="A115" s="14" t="s">
        <v>131</v>
      </c>
    </row>
    <row r="116" ht="15.75" customHeight="1">
      <c r="A116" s="14" t="s">
        <v>132</v>
      </c>
    </row>
    <row r="117" ht="15.75" customHeight="1">
      <c r="A117" s="14" t="s">
        <v>133</v>
      </c>
    </row>
    <row r="118" ht="15.75" customHeight="1">
      <c r="A118" s="14" t="s">
        <v>134</v>
      </c>
    </row>
    <row r="119" ht="15.75" customHeight="1">
      <c r="A119" s="14" t="s">
        <v>135</v>
      </c>
    </row>
    <row r="120" ht="15.75" customHeight="1">
      <c r="A120" s="14" t="s">
        <v>136</v>
      </c>
    </row>
    <row r="121" ht="15.75" customHeight="1">
      <c r="A121" s="14" t="s">
        <v>137</v>
      </c>
    </row>
    <row r="122" ht="15.75" customHeight="1">
      <c r="A122" s="14" t="s">
        <v>138</v>
      </c>
    </row>
    <row r="123" ht="15.75" customHeight="1">
      <c r="A123" s="14" t="s">
        <v>139</v>
      </c>
    </row>
    <row r="124" ht="15.75" customHeight="1">
      <c r="A124" s="14" t="s">
        <v>140</v>
      </c>
    </row>
    <row r="125" ht="15.75" customHeight="1">
      <c r="A125" s="14" t="s">
        <v>141</v>
      </c>
    </row>
    <row r="126" ht="15.75" customHeight="1">
      <c r="A126" s="14" t="s">
        <v>142</v>
      </c>
    </row>
    <row r="127" ht="15.75" customHeight="1">
      <c r="A127" s="14" t="s">
        <v>143</v>
      </c>
    </row>
    <row r="128" ht="15.75" customHeight="1">
      <c r="A128" s="14" t="s">
        <v>144</v>
      </c>
    </row>
    <row r="129" ht="15.75" customHeight="1">
      <c r="A129" s="14" t="s">
        <v>145</v>
      </c>
    </row>
    <row r="130" ht="15.75" customHeight="1">
      <c r="A130" s="14" t="s">
        <v>146</v>
      </c>
    </row>
    <row r="131" ht="15.75" customHeight="1">
      <c r="A131" s="14" t="s">
        <v>147</v>
      </c>
    </row>
    <row r="132" ht="15.75" customHeight="1">
      <c r="A132" s="14" t="s">
        <v>148</v>
      </c>
    </row>
    <row r="133" ht="15.75" customHeight="1">
      <c r="A133" s="14" t="s">
        <v>149</v>
      </c>
    </row>
    <row r="134" ht="15.75" customHeight="1">
      <c r="A134" s="14" t="s">
        <v>150</v>
      </c>
    </row>
    <row r="135" ht="15.75" customHeight="1">
      <c r="A135" s="14" t="s">
        <v>151</v>
      </c>
    </row>
    <row r="136" ht="15.75" customHeight="1">
      <c r="A136" s="14" t="s">
        <v>152</v>
      </c>
    </row>
    <row r="137" ht="15.75" customHeight="1">
      <c r="A137" s="14" t="s">
        <v>153</v>
      </c>
    </row>
    <row r="138" ht="15.75" customHeight="1">
      <c r="A138" s="14" t="s">
        <v>154</v>
      </c>
    </row>
    <row r="139" ht="15.75" customHeight="1">
      <c r="A139" s="14" t="s">
        <v>155</v>
      </c>
    </row>
    <row r="140" ht="15.75" customHeight="1">
      <c r="A140" s="14" t="s">
        <v>156</v>
      </c>
    </row>
    <row r="141" ht="15.75" customHeight="1">
      <c r="A141" s="14" t="s">
        <v>157</v>
      </c>
    </row>
    <row r="142" ht="15.75" customHeight="1">
      <c r="A142" s="14" t="s">
        <v>158</v>
      </c>
    </row>
    <row r="143" ht="15.75" customHeight="1">
      <c r="A143" s="14" t="s">
        <v>159</v>
      </c>
    </row>
    <row r="144" ht="15.75" customHeight="1">
      <c r="A144" s="14" t="s">
        <v>160</v>
      </c>
    </row>
    <row r="145" ht="15.75" customHeight="1">
      <c r="A145" s="14" t="s">
        <v>161</v>
      </c>
    </row>
    <row r="146" ht="15.75" customHeight="1">
      <c r="A146" s="14" t="s">
        <v>162</v>
      </c>
    </row>
    <row r="147" ht="15.75" customHeight="1">
      <c r="A147" s="14" t="s">
        <v>163</v>
      </c>
    </row>
    <row r="148" ht="15.75" customHeight="1">
      <c r="A148" s="14" t="s">
        <v>164</v>
      </c>
    </row>
    <row r="149" ht="15.75" customHeight="1">
      <c r="A149" s="14" t="s">
        <v>165</v>
      </c>
    </row>
    <row r="150" ht="15.75" customHeight="1">
      <c r="A150" s="14" t="s">
        <v>166</v>
      </c>
    </row>
    <row r="151" ht="15.75" customHeight="1">
      <c r="A151" s="14" t="s">
        <v>167</v>
      </c>
    </row>
    <row r="152" ht="15.75" customHeight="1">
      <c r="A152" s="14" t="s">
        <v>168</v>
      </c>
    </row>
    <row r="153" ht="15.75" customHeight="1">
      <c r="A153" s="14" t="s">
        <v>169</v>
      </c>
    </row>
    <row r="154" ht="15.75" customHeight="1">
      <c r="A154" s="14" t="s">
        <v>170</v>
      </c>
    </row>
    <row r="155" ht="15.75" customHeight="1">
      <c r="A155" s="14" t="s">
        <v>171</v>
      </c>
    </row>
    <row r="156" ht="15.75" customHeight="1">
      <c r="A156" s="14" t="s">
        <v>172</v>
      </c>
    </row>
    <row r="157" ht="15.75" customHeight="1">
      <c r="A157" s="14" t="s">
        <v>173</v>
      </c>
    </row>
    <row r="158" ht="15.75" customHeight="1">
      <c r="A158" s="14" t="s">
        <v>174</v>
      </c>
    </row>
    <row r="159" ht="15.75" customHeight="1">
      <c r="A159" s="14" t="s">
        <v>175</v>
      </c>
    </row>
    <row r="160" ht="15.75" customHeight="1">
      <c r="A160" s="14" t="s">
        <v>176</v>
      </c>
    </row>
    <row r="161" ht="15.75" customHeight="1">
      <c r="A161" s="14" t="s">
        <v>177</v>
      </c>
    </row>
    <row r="162" ht="15.75" customHeight="1">
      <c r="A162" s="14" t="s">
        <v>178</v>
      </c>
    </row>
    <row r="163" ht="15.75" customHeight="1">
      <c r="A163" s="14" t="s">
        <v>179</v>
      </c>
    </row>
    <row r="164" ht="15.75" customHeight="1">
      <c r="A164" s="14" t="s">
        <v>180</v>
      </c>
    </row>
    <row r="165" ht="15.75" customHeight="1">
      <c r="A165" s="14" t="s">
        <v>181</v>
      </c>
    </row>
    <row r="166" ht="15.75" customHeight="1">
      <c r="A166" s="14" t="s">
        <v>182</v>
      </c>
    </row>
    <row r="167" ht="15.75" customHeight="1">
      <c r="A167" s="14" t="s">
        <v>183</v>
      </c>
    </row>
    <row r="168" ht="15.75" customHeight="1">
      <c r="A168" s="14" t="s">
        <v>184</v>
      </c>
    </row>
    <row r="169" ht="15.75" customHeight="1">
      <c r="A169" s="14" t="s">
        <v>185</v>
      </c>
    </row>
    <row r="170" ht="15.75" customHeight="1">
      <c r="A170" s="14" t="s">
        <v>186</v>
      </c>
    </row>
    <row r="171" ht="15.75" customHeight="1">
      <c r="A171" s="14" t="s">
        <v>187</v>
      </c>
    </row>
    <row r="172" ht="15.75" customHeight="1">
      <c r="A172" s="14" t="s">
        <v>188</v>
      </c>
    </row>
    <row r="173" ht="15.75" customHeight="1">
      <c r="A173" s="14" t="s">
        <v>189</v>
      </c>
    </row>
    <row r="174" ht="15.75" customHeight="1">
      <c r="A174" s="14" t="s">
        <v>190</v>
      </c>
    </row>
    <row r="175" ht="15.75" customHeight="1">
      <c r="A175" s="14" t="s">
        <v>191</v>
      </c>
    </row>
    <row r="176" ht="15.75" customHeight="1">
      <c r="A176" s="14" t="s">
        <v>192</v>
      </c>
    </row>
    <row r="177" ht="15.75" customHeight="1">
      <c r="A177" s="14" t="s">
        <v>193</v>
      </c>
    </row>
    <row r="178" ht="15.75" customHeight="1">
      <c r="A178" s="14" t="s">
        <v>194</v>
      </c>
    </row>
    <row r="179" ht="15.75" customHeight="1">
      <c r="A179" s="14" t="s">
        <v>195</v>
      </c>
    </row>
    <row r="180" ht="15.75" customHeight="1">
      <c r="A180" s="14" t="s">
        <v>196</v>
      </c>
    </row>
    <row r="181" ht="15.75" customHeight="1">
      <c r="A181" s="14" t="s">
        <v>197</v>
      </c>
    </row>
    <row r="182" ht="15.75" customHeight="1">
      <c r="A182" s="14" t="s">
        <v>198</v>
      </c>
    </row>
    <row r="183" ht="15.75" customHeight="1">
      <c r="A183" s="14" t="s">
        <v>199</v>
      </c>
    </row>
    <row r="184" ht="15.75" customHeight="1">
      <c r="A184" s="14" t="s">
        <v>200</v>
      </c>
    </row>
    <row r="185" ht="15.75" customHeight="1">
      <c r="A185" s="14" t="s">
        <v>201</v>
      </c>
    </row>
    <row r="186" ht="15.75" customHeight="1">
      <c r="A186" s="14" t="s">
        <v>202</v>
      </c>
    </row>
    <row r="187" ht="15.75" customHeight="1">
      <c r="A187" s="14" t="s">
        <v>203</v>
      </c>
    </row>
    <row r="188" ht="15.75" customHeight="1">
      <c r="A188" s="14" t="s">
        <v>204</v>
      </c>
    </row>
    <row r="189" ht="15.75" customHeight="1">
      <c r="A189" s="14" t="s">
        <v>205</v>
      </c>
    </row>
    <row r="190" ht="15.75" customHeight="1">
      <c r="A190" s="14" t="s">
        <v>206</v>
      </c>
    </row>
    <row r="191" ht="15.75" customHeight="1">
      <c r="A191" s="14" t="s">
        <v>207</v>
      </c>
    </row>
    <row r="192" ht="15.75" customHeight="1">
      <c r="A192" s="14" t="s">
        <v>208</v>
      </c>
    </row>
    <row r="193" ht="15.75" customHeight="1">
      <c r="A193" s="14" t="s">
        <v>209</v>
      </c>
    </row>
    <row r="194" ht="15.75" customHeight="1">
      <c r="A194" s="14" t="s">
        <v>210</v>
      </c>
    </row>
    <row r="195" ht="15.75" customHeight="1">
      <c r="A195" s="14" t="s">
        <v>211</v>
      </c>
    </row>
    <row r="196" ht="15.75" customHeight="1">
      <c r="A196" s="14" t="s">
        <v>212</v>
      </c>
    </row>
    <row r="197" ht="15.75" customHeight="1">
      <c r="A197" s="14" t="s">
        <v>213</v>
      </c>
    </row>
    <row r="198" ht="15.75" customHeight="1">
      <c r="A198" s="14" t="s">
        <v>214</v>
      </c>
    </row>
    <row r="199" ht="15.75" customHeight="1">
      <c r="A199" s="14" t="s">
        <v>215</v>
      </c>
    </row>
    <row r="200" ht="15.75" customHeight="1">
      <c r="A200" s="14" t="s">
        <v>216</v>
      </c>
    </row>
    <row r="201" ht="15.75" customHeight="1">
      <c r="A201" s="14" t="s">
        <v>217</v>
      </c>
    </row>
    <row r="202" ht="15.75" customHeight="1">
      <c r="A202" s="14" t="s">
        <v>218</v>
      </c>
    </row>
    <row r="203" ht="15.75" customHeight="1">
      <c r="A203" s="14" t="s">
        <v>219</v>
      </c>
    </row>
    <row r="204" ht="15.75" customHeight="1">
      <c r="A204" s="14" t="s">
        <v>220</v>
      </c>
    </row>
    <row r="205" ht="15.75" customHeight="1">
      <c r="A205" s="14" t="s">
        <v>221</v>
      </c>
    </row>
    <row r="206" ht="15.75" customHeight="1">
      <c r="A206" s="14" t="s">
        <v>222</v>
      </c>
    </row>
    <row r="207" ht="15.75" customHeight="1">
      <c r="A207" s="14" t="s">
        <v>223</v>
      </c>
    </row>
    <row r="208" ht="15.75" customHeight="1">
      <c r="A208" s="14" t="s">
        <v>224</v>
      </c>
    </row>
    <row r="209" ht="15.75" customHeight="1">
      <c r="A209" s="14" t="s">
        <v>225</v>
      </c>
    </row>
    <row r="210" ht="15.75" customHeight="1">
      <c r="A210" s="14" t="s">
        <v>226</v>
      </c>
    </row>
    <row r="211" ht="15.75" customHeight="1">
      <c r="A211" s="14" t="s">
        <v>227</v>
      </c>
    </row>
    <row r="212" ht="15.75" customHeight="1">
      <c r="A212" s="14" t="s">
        <v>228</v>
      </c>
    </row>
    <row r="213" ht="15.75" customHeight="1">
      <c r="A213" s="14" t="s">
        <v>229</v>
      </c>
    </row>
    <row r="214" ht="15.75" customHeight="1">
      <c r="A214" s="14" t="s">
        <v>230</v>
      </c>
    </row>
    <row r="215" ht="15.75" customHeight="1">
      <c r="A215" s="14" t="s">
        <v>231</v>
      </c>
    </row>
    <row r="216" ht="15.75" customHeight="1">
      <c r="A216" s="14" t="s">
        <v>232</v>
      </c>
    </row>
    <row r="217" ht="15.75" customHeight="1">
      <c r="A217" s="14" t="s">
        <v>233</v>
      </c>
    </row>
    <row r="218" ht="15.75" customHeight="1">
      <c r="A218" s="14" t="s">
        <v>234</v>
      </c>
    </row>
    <row r="219" ht="15.75" customHeight="1">
      <c r="A219" s="14" t="s">
        <v>235</v>
      </c>
    </row>
    <row r="220" ht="15.75" customHeight="1">
      <c r="A220" s="14" t="s">
        <v>236</v>
      </c>
    </row>
    <row r="221" ht="15.75" customHeight="1">
      <c r="A221" s="14" t="s">
        <v>237</v>
      </c>
    </row>
    <row r="222" ht="15.75" customHeight="1">
      <c r="A222" s="14" t="s">
        <v>238</v>
      </c>
    </row>
    <row r="223" ht="15.75" customHeight="1">
      <c r="A223" s="14" t="s">
        <v>239</v>
      </c>
    </row>
    <row r="224" ht="15.75" customHeight="1">
      <c r="A224" s="14" t="s">
        <v>240</v>
      </c>
    </row>
    <row r="225" ht="15.75" customHeight="1">
      <c r="A225" s="14" t="s">
        <v>241</v>
      </c>
    </row>
    <row r="226" ht="15.75" customHeight="1">
      <c r="A226" s="14" t="s">
        <v>242</v>
      </c>
    </row>
    <row r="227" ht="15.75" customHeight="1">
      <c r="A227" s="14" t="s">
        <v>243</v>
      </c>
    </row>
    <row r="228" ht="15.75" customHeight="1">
      <c r="A228" s="14" t="s">
        <v>244</v>
      </c>
    </row>
    <row r="229" ht="15.75" customHeight="1">
      <c r="A229" s="14" t="s">
        <v>245</v>
      </c>
    </row>
    <row r="230" ht="15.75" customHeight="1">
      <c r="A230" s="14" t="s">
        <v>246</v>
      </c>
    </row>
    <row r="231" ht="15.75" customHeight="1">
      <c r="A231" s="14" t="s">
        <v>247</v>
      </c>
    </row>
    <row r="232" ht="15.75" customHeight="1">
      <c r="A232" s="14" t="s">
        <v>248</v>
      </c>
    </row>
    <row r="233" ht="15.75" customHeight="1">
      <c r="A233" s="14" t="s">
        <v>249</v>
      </c>
    </row>
    <row r="234" ht="15.75" customHeight="1">
      <c r="A234" s="14" t="s">
        <v>250</v>
      </c>
    </row>
    <row r="235" ht="15.75" customHeight="1">
      <c r="A235" s="14" t="s">
        <v>251</v>
      </c>
    </row>
    <row r="236" ht="15.75" customHeight="1">
      <c r="A236" s="14" t="s">
        <v>252</v>
      </c>
    </row>
    <row r="237" ht="15.75" customHeight="1">
      <c r="A237" s="14" t="s">
        <v>253</v>
      </c>
    </row>
    <row r="238" ht="15.75" customHeight="1">
      <c r="A238" s="14" t="s">
        <v>254</v>
      </c>
    </row>
    <row r="239" ht="15.75" customHeight="1">
      <c r="A239" s="14" t="s">
        <v>255</v>
      </c>
    </row>
    <row r="240" ht="15.75" customHeight="1">
      <c r="A240" s="14" t="s">
        <v>256</v>
      </c>
    </row>
    <row r="241" ht="15.75" customHeight="1">
      <c r="A241" s="14" t="s">
        <v>257</v>
      </c>
    </row>
    <row r="242" ht="15.75" customHeight="1">
      <c r="A242" s="14" t="s">
        <v>258</v>
      </c>
    </row>
    <row r="243" ht="15.75" customHeight="1">
      <c r="A243" s="14" t="s">
        <v>259</v>
      </c>
    </row>
    <row r="244" ht="15.75" customHeight="1">
      <c r="A244" s="14" t="s">
        <v>260</v>
      </c>
    </row>
    <row r="245" ht="15.75" customHeight="1">
      <c r="A245" s="14" t="s">
        <v>261</v>
      </c>
    </row>
    <row r="246" ht="15.75" customHeight="1">
      <c r="A246" s="14" t="s">
        <v>262</v>
      </c>
    </row>
    <row r="247" ht="15.75" customHeight="1">
      <c r="A247" s="14" t="s">
        <v>263</v>
      </c>
    </row>
    <row r="248" ht="15.75" customHeight="1">
      <c r="A248" s="14" t="s">
        <v>264</v>
      </c>
    </row>
    <row r="249" ht="15.75" customHeight="1">
      <c r="A249" s="14" t="s">
        <v>265</v>
      </c>
    </row>
    <row r="250" ht="15.75" customHeight="1">
      <c r="A250" s="14" t="s">
        <v>266</v>
      </c>
    </row>
    <row r="251" ht="15.75" customHeight="1">
      <c r="A251" s="14" t="s">
        <v>267</v>
      </c>
    </row>
    <row r="252" ht="15.75" customHeight="1">
      <c r="A252" s="14" t="s">
        <v>268</v>
      </c>
    </row>
    <row r="253" ht="15.75" customHeight="1">
      <c r="A253" s="14" t="s">
        <v>269</v>
      </c>
    </row>
    <row r="254" ht="15.75" customHeight="1">
      <c r="A254" s="14" t="s">
        <v>270</v>
      </c>
    </row>
    <row r="255" ht="15.75" customHeight="1">
      <c r="A255" s="14" t="s">
        <v>271</v>
      </c>
    </row>
    <row r="256" ht="15.75" customHeight="1">
      <c r="A256" s="14" t="s">
        <v>272</v>
      </c>
    </row>
    <row r="257" ht="15.75" customHeight="1">
      <c r="A257" s="14" t="s">
        <v>273</v>
      </c>
    </row>
    <row r="258" ht="15.75" customHeight="1">
      <c r="A258" s="14" t="s">
        <v>274</v>
      </c>
    </row>
    <row r="259" ht="15.75" customHeight="1">
      <c r="A259" s="14" t="s">
        <v>275</v>
      </c>
    </row>
    <row r="260" ht="15.75" customHeight="1">
      <c r="A260" s="14" t="s">
        <v>276</v>
      </c>
    </row>
    <row r="261" ht="15.75" customHeight="1">
      <c r="A261" s="14" t="s">
        <v>277</v>
      </c>
    </row>
    <row r="262" ht="15.75" customHeight="1">
      <c r="A262" s="14" t="s">
        <v>278</v>
      </c>
    </row>
    <row r="263" ht="15.75" customHeight="1">
      <c r="A263" s="14" t="s">
        <v>279</v>
      </c>
    </row>
    <row r="264" ht="15.75" customHeight="1">
      <c r="A264" s="14" t="s">
        <v>280</v>
      </c>
    </row>
    <row r="265" ht="15.75" customHeight="1">
      <c r="A265" s="14" t="s">
        <v>281</v>
      </c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21.0"/>
    <col customWidth="1" min="3" max="3" width="27.0"/>
    <col customWidth="1" min="4" max="4" width="20.0"/>
    <col customWidth="1" min="5" max="26" width="8.71"/>
  </cols>
  <sheetData>
    <row r="1">
      <c r="A1" s="1" t="s">
        <v>282</v>
      </c>
    </row>
    <row r="3">
      <c r="A3" s="12" t="s">
        <v>1</v>
      </c>
      <c r="B3" s="12" t="s">
        <v>3</v>
      </c>
      <c r="C3" s="12" t="s">
        <v>283</v>
      </c>
      <c r="D3" s="12" t="s">
        <v>9</v>
      </c>
    </row>
    <row r="4">
      <c r="A4" s="6" t="s">
        <v>10</v>
      </c>
      <c r="B4" s="7" t="s">
        <v>12</v>
      </c>
      <c r="C4" s="6">
        <f>SUMIF('Prescriptions Entry'!C:C, B4, 'Prescriptions Entry'!G:G)</f>
        <v>450</v>
      </c>
      <c r="D4" s="8" t="str">
        <f>SUMIF('Prescriptions Entry'!C:C, B4, 'Prescriptions Entry'!I:I)</f>
        <v>#N/A</v>
      </c>
    </row>
    <row r="5">
      <c r="A5" s="6" t="s">
        <v>284</v>
      </c>
      <c r="B5" s="13" t="s">
        <v>16</v>
      </c>
      <c r="C5" s="6">
        <f>SUMIF('Prescriptions Entry'!C:C, B5, 'Prescriptions Entry'!G:G)</f>
        <v>12</v>
      </c>
      <c r="D5" s="8" t="str">
        <f>SUMIF('Prescriptions Entry'!C:C, B5, 'Prescriptions Entry'!I:I)</f>
        <v>#N/A</v>
      </c>
    </row>
    <row r="6">
      <c r="A6" s="6" t="s">
        <v>285</v>
      </c>
      <c r="B6" s="7" t="s">
        <v>12</v>
      </c>
      <c r="C6" s="6">
        <f>SUMIF('Prescriptions Entry'!C:C, B6, 'Prescriptions Entry'!G:G)</f>
        <v>450</v>
      </c>
      <c r="D6" s="8" t="str">
        <f>SUMIF('Prescriptions Entry'!C:C, B6, 'Prescriptions Entry'!I:I)</f>
        <v>#N/A</v>
      </c>
    </row>
    <row r="7">
      <c r="A7" s="6" t="s">
        <v>286</v>
      </c>
      <c r="B7" s="7" t="s">
        <v>12</v>
      </c>
      <c r="C7" s="6">
        <f>SUMIF('Prescriptions Entry'!C:C, B7, 'Prescriptions Entry'!G:G)</f>
        <v>450</v>
      </c>
      <c r="D7" s="8" t="str">
        <f>SUMIF('Prescriptions Entry'!C:C, B7, 'Prescriptions Entry'!I:I)</f>
        <v>#N/A</v>
      </c>
    </row>
    <row r="8">
      <c r="A8" s="6" t="s">
        <v>287</v>
      </c>
      <c r="B8" s="7" t="s">
        <v>12</v>
      </c>
      <c r="C8" s="6">
        <f>SUMIF('Prescriptions Entry'!C:C, B8, 'Prescriptions Entry'!G:G)</f>
        <v>450</v>
      </c>
      <c r="D8" s="8" t="str">
        <f>SUMIF('Prescriptions Entry'!C:C, B8, 'Prescriptions Entry'!I:I)</f>
        <v>#N/A</v>
      </c>
    </row>
    <row r="9">
      <c r="A9" s="6" t="s">
        <v>288</v>
      </c>
      <c r="B9" s="7" t="s">
        <v>12</v>
      </c>
      <c r="C9" s="6">
        <f>SUMIF('Prescriptions Entry'!C:C, B9, 'Prescriptions Entry'!G:G)</f>
        <v>450</v>
      </c>
      <c r="D9" s="8" t="str">
        <f>SUMIF('Prescriptions Entry'!C:C, B9, 'Prescriptions Entry'!I:I)</f>
        <v>#N/A</v>
      </c>
    </row>
    <row r="10">
      <c r="A10" s="6" t="s">
        <v>289</v>
      </c>
      <c r="B10" s="7" t="s">
        <v>12</v>
      </c>
      <c r="C10" s="6">
        <f>SUMIF('Prescriptions Entry'!C:C, B10, 'Prescriptions Entry'!G:G)</f>
        <v>450</v>
      </c>
      <c r="D10" s="8" t="str">
        <f>SUMIF('Prescriptions Entry'!C:C, B10, 'Prescriptions Entry'!I:I)</f>
        <v>#N/A</v>
      </c>
    </row>
    <row r="11">
      <c r="A11" s="6" t="s">
        <v>290</v>
      </c>
      <c r="B11" s="7" t="s">
        <v>12</v>
      </c>
      <c r="C11" s="6">
        <f>SUMIF('Prescriptions Entry'!C:C, B11, 'Prescriptions Entry'!G:G)</f>
        <v>450</v>
      </c>
      <c r="D11" s="8" t="str">
        <f>SUMIF('Prescriptions Entry'!C:C, B11, 'Prescriptions Entry'!I:I)</f>
        <v>#N/A</v>
      </c>
    </row>
    <row r="12">
      <c r="A12" s="6" t="s">
        <v>291</v>
      </c>
      <c r="B12" s="7" t="s">
        <v>12</v>
      </c>
      <c r="C12" s="6">
        <f>SUMIF('Prescriptions Entry'!C:C, B12, 'Prescriptions Entry'!G:G)</f>
        <v>450</v>
      </c>
      <c r="D12" s="8" t="str">
        <f>SUMIF('Prescriptions Entry'!C:C, B12, 'Prescriptions Entry'!I:I)</f>
        <v>#N/A</v>
      </c>
    </row>
    <row r="13">
      <c r="A13" s="6" t="s">
        <v>292</v>
      </c>
      <c r="B13" s="7" t="s">
        <v>12</v>
      </c>
      <c r="C13" s="6">
        <f>SUMIF('Prescriptions Entry'!C:C, B13, 'Prescriptions Entry'!G:G)</f>
        <v>450</v>
      </c>
      <c r="D13" s="8" t="str">
        <f>SUMIF('Prescriptions Entry'!C:C, B13, 'Prescriptions Entry'!I:I)</f>
        <v>#N/A</v>
      </c>
    </row>
    <row r="14">
      <c r="A14" s="6" t="s">
        <v>293</v>
      </c>
      <c r="B14" s="7" t="s">
        <v>12</v>
      </c>
      <c r="C14" s="6">
        <f>SUMIF('Prescriptions Entry'!C:C, B14, 'Prescriptions Entry'!G:G)</f>
        <v>450</v>
      </c>
      <c r="D14" s="8" t="str">
        <f>SUMIF('Prescriptions Entry'!C:C, B14, 'Prescriptions Entry'!I:I)</f>
        <v>#N/A</v>
      </c>
    </row>
    <row r="15">
      <c r="A15" s="6" t="s">
        <v>294</v>
      </c>
      <c r="B15" s="7" t="s">
        <v>12</v>
      </c>
      <c r="C15" s="6">
        <f>SUMIF('Prescriptions Entry'!C:C, B15, 'Prescriptions Entry'!G:G)</f>
        <v>450</v>
      </c>
      <c r="D15" s="8" t="str">
        <f>SUMIF('Prescriptions Entry'!C:C, B15, 'Prescriptions Entry'!I:I)</f>
        <v>#N/A</v>
      </c>
    </row>
    <row r="16">
      <c r="A16" s="6" t="s">
        <v>295</v>
      </c>
      <c r="B16" s="7" t="s">
        <v>12</v>
      </c>
      <c r="C16" s="6">
        <f>SUMIF('Prescriptions Entry'!C:C, B16, 'Prescriptions Entry'!G:G)</f>
        <v>450</v>
      </c>
      <c r="D16" s="8" t="str">
        <f>SUMIF('Prescriptions Entry'!C:C, B16, 'Prescriptions Entry'!I:I)</f>
        <v>#N/A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5" t="s">
        <v>296</v>
      </c>
      <c r="B1" s="16"/>
      <c r="C1" s="16"/>
      <c r="D1" s="16"/>
    </row>
    <row r="2">
      <c r="A2" s="16" t="s">
        <v>297</v>
      </c>
      <c r="B2" s="16" t="s">
        <v>3</v>
      </c>
      <c r="C2" s="16" t="s">
        <v>298</v>
      </c>
      <c r="D2" s="16" t="s">
        <v>9</v>
      </c>
    </row>
    <row r="3">
      <c r="A3" s="17">
        <v>46204.0</v>
      </c>
      <c r="B3" s="16" t="s">
        <v>12</v>
      </c>
      <c r="C3" s="18" t="str">
        <f>SUMIFS('Daily Prescriptions'!D:D</f>
        <v>#ERROR!</v>
      </c>
      <c r="D3" s="19" t="s">
        <v>299</v>
      </c>
    </row>
    <row r="4">
      <c r="A4" s="17">
        <v>46204.0</v>
      </c>
      <c r="B4" s="16" t="s">
        <v>16</v>
      </c>
      <c r="C4" s="18" t="str">
        <f>SUMIFS('Daily Prescriptions'!D:D</f>
        <v>#ERROR!</v>
      </c>
      <c r="D4" s="19" t="s">
        <v>299</v>
      </c>
    </row>
  </sheetData>
  <drawing r:id="rId1"/>
</worksheet>
</file>